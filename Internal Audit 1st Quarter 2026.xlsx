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coactivefg-my.sharepoint.com/personal/bruce_coactivefg_com/Documents/Hawaii Farming LLC/Internal Audits Corrective Action/"/>
    </mc:Choice>
  </mc:AlternateContent>
  <xr:revisionPtr revIDLastSave="295" documentId="8_{D53416FC-FBDB-4445-B0DD-98511788C8BB}" xr6:coauthVersionLast="47" xr6:coauthVersionMax="47" xr10:uidLastSave="{A9E5F568-624D-49DB-849B-803D9EC4D396}"/>
  <bookViews>
    <workbookView xWindow="-108" yWindow="-108" windowWidth="23256" windowHeight="13896" xr2:uid="{CEBE6A53-4658-4EAD-9341-FDDBAD7B4BBF}"/>
  </bookViews>
  <sheets>
    <sheet name="Q1 2026 Lettuce" sheetId="1" r:id="rId1"/>
    <sheet name="Q1 2026 Cuk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2" i="1" l="1"/>
  <c r="E52" i="1"/>
  <c r="F32" i="1"/>
  <c r="E32" i="1"/>
  <c r="F17" i="1"/>
  <c r="E17" i="1"/>
  <c r="E52" i="2"/>
  <c r="F52" i="2" s="1"/>
  <c r="F31" i="2"/>
  <c r="E31" i="2"/>
  <c r="F17" i="2"/>
  <c r="E17" i="2"/>
  <c r="D52" i="2"/>
  <c r="D32" i="2"/>
  <c r="D31" i="2"/>
  <c r="D17" i="2"/>
  <c r="D52" i="1"/>
  <c r="D32" i="1"/>
  <c r="D31" i="1"/>
  <c r="D17" i="1"/>
</calcChain>
</file>

<file path=xl/sharedStrings.xml><?xml version="1.0" encoding="utf-8"?>
<sst xmlns="http://schemas.openxmlformats.org/spreadsheetml/2006/main" count="264" uniqueCount="141">
  <si>
    <t>Site</t>
  </si>
  <si>
    <t>Pest Control</t>
  </si>
  <si>
    <t>General Chemicals</t>
  </si>
  <si>
    <t>Production Facility</t>
  </si>
  <si>
    <t>Inspection</t>
  </si>
  <si>
    <t>Training</t>
  </si>
  <si>
    <t>Agronomic Inputs</t>
  </si>
  <si>
    <t>Pesticide Usage</t>
  </si>
  <si>
    <t>Mapping, food defense, exterior cleanliness, animal presence in growing areas, evidence of animal fecal matter in growing area, storage of fertilizers and substrates to prevent contamination.</t>
  </si>
  <si>
    <t>Written pest control program, verification of training, insurance and licensing, mapping of pest control devices, records of device monitoring and bait applications, evidence of pest activity, pest proofing of openings, device placement, operating condition and capacity of coverage for the area.</t>
  </si>
  <si>
    <t>Inventory tracking, storage security, labeling, management of food vs non-food grade, use of testing devices for monitoring sanitizer concentration.</t>
  </si>
  <si>
    <t>Master sanitation schedule, sanitation/cleaning procedures, cleaning records, cleaning of fans for air distribution, glass register and inspections, shatter proof light fixtures, growing inputs, seed, packaging and finished product free of visible contamination. cleanliness of growing areas, well organized process flow of materials, workers and harvested product, cleanliness of reusable containers, storage of tools and cleaning equipment to prevent contamination, construction, condition and cleanliness of drains.  Condition and cleanliness of material handling equipment.</t>
  </si>
  <si>
    <t>Internal audit and pre-operation inspection records and corrective action.</t>
  </si>
  <si>
    <t>Food safety training for new and existing workers, sanitation training for those involved with cleaning and sanitation, record keeping program for workers who violate food safety practices.</t>
  </si>
  <si>
    <t>Toilet facilities - sufficient in capacity, location, cleanliness and properly supplied.  Records of portable toilet servicing/cleaning and cleaning records for restrooms. Hand wash stations - sufficient in capacity, location, cleanliness and properly supplied, hand wash reminder signs as well as cleaning records.  Worker compliance with hand washing.  Proper maintenance of hand sanitizers and where located foot baths. Worker clothing suitable for tasks, protective clothing worn where required.  Worker personal items stored properly, no jewelry worn, no smokin, eating or drinking in prohibited areas.</t>
  </si>
  <si>
    <t>Ellepots, paper rolls, coir slabs, Promix, fertilizer- records of use, COA's, verification records of fitness for use</t>
  </si>
  <si>
    <t>Water Use</t>
  </si>
  <si>
    <t>Sampling SOPs, testing frequency, testing records, corrective action for unsuitable results.  Back flow or air gap protection.</t>
  </si>
  <si>
    <t>Application records including all required elements, EPA registered for the crop applied to, applied consistent with label restrictions, REI followed, PHI followed, mixing, preparation, application and cleaning of equipment procedures for application equipment.  Staff training for handlers and applicators.</t>
  </si>
  <si>
    <t>Total Possible Points</t>
  </si>
  <si>
    <t>PrimusGFS Internal Audit Record</t>
  </si>
  <si>
    <t>Hawaii Farming</t>
  </si>
  <si>
    <t>Indoor Agriculture - Growing</t>
  </si>
  <si>
    <t>Harvesting</t>
  </si>
  <si>
    <t>Harvest Worker Hygiene</t>
  </si>
  <si>
    <t>Harvest Practices</t>
  </si>
  <si>
    <t>Internal audit and pre-operation inspection records</t>
  </si>
  <si>
    <t>GH Worker Hygiene</t>
  </si>
  <si>
    <t xml:space="preserve">Harvest area free from evidence of animal activity, free from evidence of animal fecal matter, </t>
  </si>
  <si>
    <t>Chemicals</t>
  </si>
  <si>
    <t>Chemical storage secure, container labeling, intact containers.  Use of food and non-food grade chemicals properly.</t>
  </si>
  <si>
    <t>Testing</t>
  </si>
  <si>
    <t>Testing of post-harvest water used for sanitation/cleaning, corrective action records for any unsuitable results.</t>
  </si>
  <si>
    <t>Harvest Tools</t>
  </si>
  <si>
    <t>Design, condition and cleanliness of harvest cart, cleaning procedures and cleaning records (cukes only)</t>
  </si>
  <si>
    <t>Zone 1 and 2 surface design, construction, maintenance and cleaning, free of any unhygienic material use.  Cleaning procedures and records.  Only food grade lubricants used.</t>
  </si>
  <si>
    <t>Reusable Containers (cukes only)</t>
  </si>
  <si>
    <t>Design, condition and cleanliness of harvest totes, cleaning procedures and cleaning records.  Are resuable containers free from handling practices that may result in contamination.</t>
  </si>
  <si>
    <t>Harvest Machinery (lettuce only)</t>
  </si>
  <si>
    <t>Cargo area of vehicles used for transport of harvested product clean and properly maintained. Tracking system to track to harvest area.</t>
  </si>
  <si>
    <t>Transpotation and Tracking (cukes only)</t>
  </si>
  <si>
    <t>Storage Areas</t>
  </si>
  <si>
    <t>Storage areas for tools, equipment, reusable containers clean and well maintained.  Cleaning records for storage areas, pest control for storage areas that includes device placement, working condition and suitable in numbers.  Pest control device monitoring records.  Pest proofing of openings for interior storage areas.</t>
  </si>
  <si>
    <t>Good Manufacturing Practices - Packinghouse</t>
  </si>
  <si>
    <t>General GMP</t>
  </si>
  <si>
    <t>Storage Areas &amp; Packaging Materials</t>
  </si>
  <si>
    <t>Operational Practices</t>
  </si>
  <si>
    <t>Worker Practices</t>
  </si>
  <si>
    <t>Equipment</t>
  </si>
  <si>
    <t>Equipment Cleaning</t>
  </si>
  <si>
    <t>General Cleaning</t>
  </si>
  <si>
    <t>Buildings and Grounds</t>
  </si>
  <si>
    <t>Chemical Files</t>
  </si>
  <si>
    <t>Operation Monitoring Records</t>
  </si>
  <si>
    <t>Maintenance &amp; Sanitation Files</t>
  </si>
  <si>
    <t>Chemical storage secure, containers properly labeled and in serviceable condition.  Food and non-food  grade chemicals not co-mingled in storage.  Food defense controls are implemented.</t>
  </si>
  <si>
    <t>Food product and packaging materiald free of any evidence of pest contamination. Interior and exterior facility areas free of pest activity,  Pest control devices numbered, contain a means to verify monitoring, are sufficient in number and location, intact and in serviceable condition.  Exterior bait stations anchored with tamper resistant lids.</t>
  </si>
  <si>
    <t>Storage areas restricted to items related to food production. Materials on-hold separated and clearly labeled. Products and packaging free of visible contamination.  Storage areas clean, well maintained, at appropriate temperature. Materials clearly labeled to facilitate FIFO rotation.</t>
  </si>
  <si>
    <t>Exposed product and packaging protected from overhead contamination. Production area clean, rework/repackaging conducted to avoid contamination, finished products coded for packing data, foreign material control equipment regularly tested, sanitizer concentration monitoring conducted with appropriate test method and accurately. Toilet &amp; hand wash facilities sufficient in capacity and clean, fully supplied, hand wash sinks provided with warm water.  Reusable containers cleanable, intact, clearly designated for assigned use and clean.  Measuring devices in working condition and calibrated.</t>
  </si>
  <si>
    <t>Hand wash compliance, no visible symptoms of illness or improperly cared for wounds. Hair restraints effectively worn, no jewelry, appropriate clothing, including any protective garments required. Personal items stored away from production area, no smoking, eating or drinking in prohibited areas, items removed from pockets above the waist.  First aid kits available, stocked with current dated supplies.</t>
  </si>
  <si>
    <t>Zone 1 and 2 surfaces are free of unhygienc materials, design &amp; condition meet sanitary design parameters, working, non-mercury thermometers dedicated to monitoring in coolers.</t>
  </si>
  <si>
    <t>Zone 1 and 2 surfaces are visible clean, totes clean, cooling units/evaporators clean, idle eqiupment kept clean, utensils, hoses and cleaning equipment stored clean and off the floor. No excess lubricant visible on equipment.</t>
  </si>
  <si>
    <t>Routine removal of trash &amp; spills. Floor drain construction, condition and clean. Cleaning equipment designated by area &amp; use, toilet and hand wash facilities clean, break area clean, material handling equipment clean. Cargo area of outbound trucks clean.</t>
  </si>
  <si>
    <t>Light fixtures shatter proof/resistant, potential foreign material contaminants controlled, no use of wooden surfaces, product protected from condensate, floors free of debris trapping cracks, floor drains positioned to manage pooling of water, openings pest proof, docks eqiupped with truck seals. Interior and exterior walls free of holes and cracks that may allow passage or harboring of insects/pests  18" perimeter maintained, exterior areas free of litter/trash, dumpster area well maintained &amp; dumpster covered. Back flow prevention provided. On-site lab separated from production area, properly secured, positive air flow.</t>
  </si>
  <si>
    <t>Site plan, floor plans, site risk assessment and back flow tests</t>
  </si>
  <si>
    <t>Availability of specimen labels, chemical inventory.</t>
  </si>
  <si>
    <t>Pest Control Program</t>
  </si>
  <si>
    <t>Written program, verification of contractor documents, training &amp; insurance. Device mapping, monitoring and service records.</t>
  </si>
  <si>
    <t>Incoming goods and incoming truck inspection records, metal detection checks, hand sanitizer checks and replenishment, Pre-Op inspection records, internal audit records.</t>
  </si>
  <si>
    <t>Preventive maintenance program and records, repair records, master sanitation schedule, cleaning procedures, cleaning records, verification of cleaner and sanitizer concentrations, refrigeration unit/evaporator cleaning records.</t>
  </si>
  <si>
    <t>Worker Records</t>
  </si>
  <si>
    <t>New and existing worker food safety training records, sanitation training records, worker food safety non-conformance record keeping system, visitor sign-in and agreeing to follow  GAP/GMP practices</t>
  </si>
  <si>
    <t>EMP program, water testing, compressed air testing, T&amp;H program and testing records and corrective action records. Internal lab QA manual, training for staff involved in sampling.</t>
  </si>
  <si>
    <t>Storage &amp; Shipping Truck Records</t>
  </si>
  <si>
    <t>Temperature records for lettuce PH, cooler temps for cuke and lettuce coolers, shipping truck condition and loading temp records.</t>
  </si>
  <si>
    <t>Total Possible Packinghouse Points</t>
  </si>
  <si>
    <t>Total Possible Points for Cukes</t>
  </si>
  <si>
    <t>Total Possible Points for Lettuce</t>
  </si>
  <si>
    <t>Category</t>
  </si>
  <si>
    <t>PrimusGFS Section</t>
  </si>
  <si>
    <t>Requirements Description</t>
  </si>
  <si>
    <t>Total Poss. Points</t>
  </si>
  <si>
    <t>Total Points this QTR</t>
  </si>
  <si>
    <t>Auditor Comments/Deficiencies</t>
  </si>
  <si>
    <t>Year:</t>
  </si>
  <si>
    <t>Quarter: First</t>
  </si>
  <si>
    <t>No issues observed</t>
  </si>
  <si>
    <t>GH 2, there is a large section of polycarbonate loose adjacent to the west side door.  GH 6 east side door has gaps at both ends on the bottom.  Bait station #78 (@ GH #5) damaged and not usable.  Bait stations 23, 26, 80 and 81 BIP side are missing lids.</t>
  </si>
  <si>
    <t>Toilet facilities - sufficient in capacity, location, cleanliness and properly supplied.  Records of portable toilet servicing/cleaning and cleaning records for restrooms. Hand wash stations - sufficient in capacity, location, cleanliness and properly supplied, hand wash reminder signs as well as cleaning records.  Worker compliance with hand washing.  Proper maintenance of hand sanitizers and where located foot baths. Worker clothing suitable for tasks, protective clothing worn where required.  Worker personal items stored properly, no jewelry worn, no smoking, eating or drinking in prohibited areas.</t>
  </si>
  <si>
    <t>There are no issues.</t>
  </si>
  <si>
    <t>Earthscape GMP cert. is expired.  Ellepot letter of guarantee should be replaced (written 2/5/25).</t>
  </si>
  <si>
    <t>Some of the observations of animal intrusion in the Pre-Op are lacking effective corrective actions.</t>
  </si>
  <si>
    <t>Cleaning procedure for harvest carts is not up to date.  Harvest totes - see Module 4.  We need a written GH cleanout procedure.</t>
  </si>
  <si>
    <t>Pesticide application document is lacking several WPS compliance requirements.  We need to review the label links in Aloha to ensure they are current.</t>
  </si>
  <si>
    <t>No evdence observed of any such issues.</t>
  </si>
  <si>
    <t>Harvest totes were not clean.  No issues with handling practcies observed.  Tote cleaning records are maintained by the PH.</t>
  </si>
  <si>
    <t>No issues with mini-truck(s) observed.  Tracking system from GH at harvest in place.</t>
  </si>
  <si>
    <t>Not applicable</t>
  </si>
  <si>
    <t>Tote storage area at the PH exhibited evidence from the recent heavy rainstorm.</t>
  </si>
  <si>
    <t>Harvest cart cleaning records indicate daily, however they are not cleaned.</t>
  </si>
  <si>
    <t>No issues observed.</t>
  </si>
  <si>
    <t>No issues observed.  No unsuitable results.</t>
  </si>
  <si>
    <t>No issue observed. Internal auditor was not in a position to observe hand washing compliance.</t>
  </si>
  <si>
    <t>Food product and packaging materials free of any evidence of pest contamination. Interior and exterior facility areas free of pest activity,  Pest control devices numbered, contain a means to verify monitoring, are sufficient in number and location, intact and in serviceable condition.  Exterior bait stations anchored with tamper resistant lids.</t>
  </si>
  <si>
    <t>A couple of the traps (south wall, east wall) were out of position inside the PH - corrected during the internal audit.</t>
  </si>
  <si>
    <t>Some personal beverage items observed in cooler 2.</t>
  </si>
  <si>
    <t>Recommend identifying the "buffer" totes that are used on the floor under product or packaging totes with paint or in writing as buffer totes.</t>
  </si>
  <si>
    <t>No isues observed.</t>
  </si>
  <si>
    <t>Totes are not getting clean.</t>
  </si>
  <si>
    <t>No changes necessary in the floor plan.  Site risk assessment will be updated in the next month.</t>
  </si>
  <si>
    <t>Specimen labels are available for chemicals.  Chemical inventory is in Aloha.</t>
  </si>
  <si>
    <t>Lack incoming truck/container inspection records for receipt of packaging.</t>
  </si>
  <si>
    <t>Internal lab testing manual needs updating.</t>
  </si>
  <si>
    <t>No issues observed.  Need to verify Orkin's documents prior to May audit.</t>
  </si>
  <si>
    <t>Chemical storage cage in the GH was found not locked during non-operating hours.  Inventory tracking is in Aloha.</t>
  </si>
  <si>
    <t>Guards on the GH fans were observed very dusty - subsequently these guards were scheduled to be removed throughout the GH since there are no personnel in their vicinity when they are operating.</t>
  </si>
  <si>
    <t xml:space="preserve">No issues observed. </t>
  </si>
  <si>
    <t>No issues observed.  Workers were observed washing hands after using the restroom as well as after break.</t>
  </si>
  <si>
    <t>Promix letter of guarantee will need to be re-newed prior to the 2026 audit.</t>
  </si>
  <si>
    <t>Back flow device checks recently completed.  Water testing results have been acceptable.</t>
  </si>
  <si>
    <t>Water quantity recorded for ULV-fogging applications was not accurate.  Subsequently the correct volume was identified to Julio based upon manufacturers info.  A minor delay in entering a few application records was also identified.</t>
  </si>
  <si>
    <t>Training for new GH supervisor ongoing.</t>
  </si>
  <si>
    <t>N/A.  Harvest carts not used in lettuce harvest.</t>
  </si>
  <si>
    <t>N/A.  Reusable totes not used in lettuce harvest.</t>
  </si>
  <si>
    <t>Food grade lubricant not available for inspection at the time of the internal audit.</t>
  </si>
  <si>
    <t>N/A.  Not used in lettuce harvest.</t>
  </si>
  <si>
    <t>Chemicals stored securely in the PH building and properly separated.</t>
  </si>
  <si>
    <t xml:space="preserve">There was no evidence of any pest contamination of product or packaging material.  Pest control devices are numbered, sufficient in numbers, condition and placement.  </t>
  </si>
  <si>
    <t>There were a few pallets of packaging stored within the defined perimeter.  This was subsequently corrected.</t>
  </si>
  <si>
    <t>A couple damaged (cracked) totes identified and reported to Vicky to remove from use.</t>
  </si>
  <si>
    <t>Hand wash compliance was acceptable as was worker protective clothing.</t>
  </si>
  <si>
    <t>Several cleaning implements were observed to be stored not hung, stored in contact with the floor.</t>
  </si>
  <si>
    <t>Post-harvest water is hand wash and sanitation related water only.  No product contact with water post-harvest.  Worker pulling boards reminded to refrain from tipping the following edge of each board in the pond water during harvest.</t>
  </si>
  <si>
    <t>Site risk assessment will need to be reviewed prior to 2026 audit.</t>
  </si>
  <si>
    <t>SDS documents being assembled. Not as yet totally complete.</t>
  </si>
  <si>
    <t>PH monitoring has been reduced to every other week since there has not been a single rodent caught in more than 2 years.</t>
  </si>
  <si>
    <t>Several cleaning procedures need updating.  Will need to be updated to reflect current practices.</t>
  </si>
  <si>
    <t>Lab manual not up to date with Hypercell testing protocols.  Maju and Avon need to complete BSL-2 (biolab 2) training. Compressed air testing will need to be completed prior the 2026 audit.</t>
  </si>
  <si>
    <t>Inbound shipping container inspection records not yet included in Aloha.</t>
  </si>
  <si>
    <t>No issues observed.  Outbound shipping container inspection records in the process of being added to Aloha.</t>
  </si>
  <si>
    <t>Internal Auditor: B.G. Wilkins, conducted 3/12-3/19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</si>
</sst>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b/>
      <sz val="12"/>
      <color rgb="FF000000"/>
      <name val="Arial"/>
      <family val="2"/>
      <charset val="1"/>
    </font>
    <font>
      <sz val="9"/>
      <color rgb="FF000000"/>
      <name val="Calibri"/>
      <family val="2"/>
      <charset val="1"/>
    </font>
    <font>
      <sz val="8"/>
      <color rgb="FF000000"/>
      <name val="Arial"/>
      <family val="2"/>
      <charset val="1"/>
    </font>
    <font>
      <b/>
      <i/>
      <sz val="11"/>
      <color rgb="FF000000"/>
      <name val="Arial"/>
      <family val="2"/>
      <charset val="1"/>
    </font>
    <font>
      <b/>
      <sz val="8"/>
      <name val="Arial"/>
      <family val="2"/>
      <charset val="1"/>
    </font>
    <font>
      <sz val="8"/>
      <name val="Arial"/>
      <family val="2"/>
      <charset val="1"/>
    </font>
    <font>
      <sz val="8"/>
      <color rgb="FFFF0000"/>
      <name val="Arial"/>
      <family val="2"/>
      <charset val="1"/>
    </font>
    <font>
      <b/>
      <sz val="8"/>
      <color rgb="FF000000"/>
      <name val="Arial"/>
      <family val="2"/>
      <charset val="1"/>
    </font>
    <font>
      <sz val="9"/>
      <name val="Arial"/>
      <family val="2"/>
      <charset val="1"/>
    </font>
    <font>
      <sz val="10"/>
      <name val="Arial"/>
      <family val="2"/>
      <charset val="1"/>
    </font>
    <font>
      <sz val="8"/>
      <name val="Arial"/>
      <family val="2"/>
    </font>
    <font>
      <b/>
      <sz val="8"/>
      <name val="Arial"/>
      <family val="2"/>
    </font>
    <font>
      <b/>
      <sz val="9"/>
      <name val="Arial"/>
      <family val="2"/>
    </font>
    <font>
      <b/>
      <sz val="9"/>
      <color rgb="FF000000"/>
      <name val="Arial"/>
      <family val="2"/>
    </font>
    <font>
      <sz val="8"/>
      <color rgb="FF000000"/>
      <name val="Arial"/>
      <family val="2"/>
    </font>
    <font>
      <b/>
      <sz val="8"/>
      <color rgb="FF000000"/>
      <name val="Arial"/>
      <family val="2"/>
    </font>
    <font>
      <sz val="8"/>
      <color theme="1"/>
      <name val="Arial"/>
      <family val="2"/>
    </font>
    <font>
      <b/>
      <sz val="10"/>
      <color rgb="FF000000"/>
      <name val="Arial"/>
      <family val="2"/>
    </font>
    <font>
      <i/>
      <sz val="10"/>
      <color rgb="FF000000"/>
      <name val="Arial"/>
      <family val="2"/>
    </font>
  </fonts>
  <fills count="3">
    <fill>
      <patternFill patternType="none"/>
    </fill>
    <fill>
      <patternFill patternType="gray125"/>
    </fill>
    <fill>
      <patternFill patternType="solid">
        <fgColor rgb="FFC0C0C0"/>
        <bgColor rgb="FFBFBFBF"/>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57">
    <xf numFmtId="0" fontId="0" fillId="0" borderId="0" xfId="0"/>
    <xf numFmtId="0" fontId="2" fillId="0" borderId="0" xfId="0" applyFont="1" applyAlignment="1">
      <alignment wrapText="1"/>
    </xf>
    <xf numFmtId="0" fontId="5"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6" fillId="0" borderId="1" xfId="0" applyFont="1" applyBorder="1" applyAlignment="1">
      <alignment horizontal="left" vertical="top" wrapText="1"/>
    </xf>
    <xf numFmtId="0" fontId="6" fillId="0" borderId="1" xfId="0" applyFont="1" applyBorder="1" applyAlignment="1">
      <alignment horizontal="center" vertical="center" wrapText="1"/>
    </xf>
    <xf numFmtId="0" fontId="3" fillId="0" borderId="1" xfId="0" applyFont="1" applyBorder="1" applyAlignment="1">
      <alignment vertical="top" wrapText="1"/>
    </xf>
    <xf numFmtId="0" fontId="7" fillId="0" borderId="1" xfId="0" applyFont="1" applyBorder="1" applyAlignment="1">
      <alignment horizontal="left" vertical="top" wrapText="1"/>
    </xf>
    <xf numFmtId="0" fontId="6" fillId="0" borderId="1" xfId="0" applyFont="1" applyBorder="1" applyAlignment="1">
      <alignment vertical="top" wrapText="1"/>
    </xf>
    <xf numFmtId="0" fontId="6" fillId="0" borderId="1" xfId="0" applyFont="1" applyBorder="1" applyAlignment="1">
      <alignment horizontal="center" vertical="top" wrapText="1"/>
    </xf>
    <xf numFmtId="0" fontId="0" fillId="0" borderId="0" xfId="0" applyAlignment="1">
      <alignment wrapText="1"/>
    </xf>
    <xf numFmtId="0" fontId="9" fillId="0" borderId="0" xfId="0" applyFont="1" applyAlignment="1">
      <alignment wrapText="1"/>
    </xf>
    <xf numFmtId="0" fontId="6" fillId="0" borderId="0" xfId="0" applyFont="1" applyAlignment="1">
      <alignment horizontal="center" vertical="center" wrapText="1"/>
    </xf>
    <xf numFmtId="0" fontId="10" fillId="0" borderId="0" xfId="0" applyFont="1" applyAlignment="1">
      <alignment wrapText="1"/>
    </xf>
    <xf numFmtId="0" fontId="10" fillId="0" borderId="0" xfId="0" applyFont="1" applyAlignment="1">
      <alignment horizontal="center" vertical="center"/>
    </xf>
    <xf numFmtId="0" fontId="6" fillId="0" borderId="0" xfId="0" applyFont="1"/>
    <xf numFmtId="0" fontId="7" fillId="0" borderId="1" xfId="0" applyFont="1" applyBorder="1" applyAlignment="1">
      <alignment horizontal="center" vertical="center" wrapText="1"/>
    </xf>
    <xf numFmtId="0" fontId="6" fillId="0" borderId="1" xfId="0" applyFont="1" applyBorder="1" applyAlignment="1">
      <alignment vertical="center" wrapText="1"/>
    </xf>
    <xf numFmtId="0" fontId="5" fillId="0" borderId="1" xfId="0" applyFont="1" applyBorder="1" applyAlignment="1">
      <alignment horizontal="center" vertical="top" wrapText="1"/>
    </xf>
    <xf numFmtId="0" fontId="11" fillId="0" borderId="1" xfId="0" applyFont="1" applyBorder="1" applyAlignment="1">
      <alignment horizontal="center" vertical="top" wrapText="1"/>
    </xf>
    <xf numFmtId="0" fontId="11"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9" fillId="0" borderId="1" xfId="0" applyFont="1" applyBorder="1" applyAlignment="1">
      <alignment horizontal="center" vertical="center" wrapText="1"/>
    </xf>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8" fillId="0" borderId="1" xfId="0" applyFont="1" applyBorder="1" applyAlignment="1">
      <alignment horizontal="center" vertical="top" wrapText="1"/>
    </xf>
    <xf numFmtId="0" fontId="15" fillId="0" borderId="1" xfId="0" applyFont="1" applyBorder="1" applyAlignment="1">
      <alignment horizontal="center" vertical="top" wrapText="1"/>
    </xf>
    <xf numFmtId="0" fontId="16" fillId="0" borderId="1" xfId="0" applyFont="1" applyBorder="1" applyAlignment="1">
      <alignment horizontal="center" vertical="top" wrapText="1"/>
    </xf>
    <xf numFmtId="0" fontId="12" fillId="0" borderId="1" xfId="0" applyFont="1" applyBorder="1" applyAlignment="1">
      <alignment horizontal="center" vertical="top" wrapText="1"/>
    </xf>
    <xf numFmtId="0" fontId="8"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applyAlignment="1">
      <alignment horizontal="left" vertical="top" wrapText="1"/>
    </xf>
    <xf numFmtId="0" fontId="17" fillId="0" borderId="1" xfId="0" applyFont="1" applyBorder="1" applyAlignment="1">
      <alignment horizontal="center" vertical="center" wrapText="1"/>
    </xf>
    <xf numFmtId="0" fontId="8" fillId="0" borderId="1" xfId="0" applyFont="1" applyBorder="1" applyAlignment="1">
      <alignment horizontal="right" vertical="top" wrapText="1"/>
    </xf>
    <xf numFmtId="0" fontId="12" fillId="0" borderId="1" xfId="0" applyFont="1" applyBorder="1" applyAlignment="1">
      <alignment horizontal="right" wrapText="1"/>
    </xf>
    <xf numFmtId="0" fontId="12" fillId="0" borderId="0" xfId="0" applyFont="1" applyAlignment="1">
      <alignment horizontal="right" wrapText="1"/>
    </xf>
    <xf numFmtId="0" fontId="12" fillId="0" borderId="0" xfId="0" applyFont="1" applyAlignment="1">
      <alignment horizontal="center" vertical="center"/>
    </xf>
    <xf numFmtId="2" fontId="16" fillId="0" borderId="1" xfId="0" applyNumberFormat="1" applyFont="1" applyBorder="1" applyAlignment="1">
      <alignment horizontal="center" vertical="top" wrapText="1"/>
    </xf>
    <xf numFmtId="0" fontId="16" fillId="0" borderId="1" xfId="0" applyFont="1" applyBorder="1" applyAlignment="1">
      <alignment horizontal="center" vertical="center" wrapText="1"/>
    </xf>
    <xf numFmtId="2" fontId="12" fillId="0" borderId="1" xfId="0" applyNumberFormat="1" applyFont="1" applyBorder="1" applyAlignment="1">
      <alignment horizontal="center" vertical="center" wrapText="1"/>
    </xf>
    <xf numFmtId="0" fontId="4" fillId="0" borderId="0" xfId="0" applyFont="1" applyAlignment="1">
      <alignment vertical="center" wrapText="1"/>
    </xf>
    <xf numFmtId="0" fontId="4" fillId="0" borderId="2" xfId="0" applyFont="1" applyBorder="1" applyAlignment="1">
      <alignment vertical="center" wrapText="1"/>
    </xf>
    <xf numFmtId="0" fontId="13" fillId="0" borderId="0" xfId="0" applyFont="1" applyAlignment="1">
      <alignment horizontal="center" wrapText="1"/>
    </xf>
    <xf numFmtId="0" fontId="1" fillId="0" borderId="0" xfId="0" applyFont="1" applyAlignment="1">
      <alignment horizontal="center" vertical="center" wrapText="1"/>
    </xf>
    <xf numFmtId="0" fontId="14" fillId="0" borderId="0" xfId="0" applyFont="1" applyAlignment="1">
      <alignment horizontal="center" vertical="center" wrapText="1"/>
    </xf>
    <xf numFmtId="0" fontId="18" fillId="0" borderId="0" xfId="0" applyFont="1" applyAlignment="1">
      <alignment horizontal="center"/>
    </xf>
    <xf numFmtId="0" fontId="5" fillId="0" borderId="1" xfId="0" applyFont="1" applyBorder="1" applyAlignment="1">
      <alignment horizontal="left" vertical="top" wrapText="1"/>
    </xf>
    <xf numFmtId="0" fontId="9" fillId="0" borderId="1" xfId="0" applyFont="1" applyBorder="1" applyAlignment="1">
      <alignment vertical="top" wrapText="1"/>
    </xf>
    <xf numFmtId="2" fontId="6" fillId="0" borderId="0" xfId="0" applyNumberFormat="1" applyFont="1" applyAlignment="1">
      <alignment horizontal="left"/>
    </xf>
    <xf numFmtId="0" fontId="11" fillId="0" borderId="1" xfId="0" applyFont="1" applyBorder="1" applyAlignment="1">
      <alignment horizontal="left" vertical="top" wrapText="1"/>
    </xf>
    <xf numFmtId="2" fontId="6" fillId="0" borderId="1" xfId="0" applyNumberFormat="1" applyFont="1" applyBorder="1" applyAlignment="1">
      <alignment horizontal="left" vertical="top" wrapText="1"/>
    </xf>
    <xf numFmtId="0" fontId="9" fillId="0" borderId="1" xfId="0" applyFont="1" applyBorder="1" applyAlignment="1">
      <alignment horizontal="left" vertical="top" wrapText="1"/>
    </xf>
    <xf numFmtId="2" fontId="8" fillId="0" borderId="1" xfId="0" applyNumberFormat="1" applyFont="1" applyBorder="1" applyAlignment="1">
      <alignment horizontal="left" vertical="top" wrapText="1"/>
    </xf>
    <xf numFmtId="2" fontId="15" fillId="0" borderId="1" xfId="0" applyNumberFormat="1" applyFont="1" applyBorder="1" applyAlignment="1">
      <alignment horizontal="left" vertical="top" wrapText="1"/>
    </xf>
    <xf numFmtId="0" fontId="19"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87F4C-6571-4094-BD13-65164ACB2F84}">
  <dimension ref="A1:G52"/>
  <sheetViews>
    <sheetView tabSelected="1" zoomScale="120" zoomScaleNormal="120" workbookViewId="0">
      <selection activeCell="F8" sqref="F8"/>
    </sheetView>
  </sheetViews>
  <sheetFormatPr defaultColWidth="11.33203125" defaultRowHeight="14.4" x14ac:dyDescent="0.3"/>
  <cols>
    <col min="1" max="1" width="10.77734375" style="13" customWidth="1"/>
    <col min="2" max="2" width="5.88671875" style="14" customWidth="1"/>
    <col min="3" max="3" width="30.109375" style="15" customWidth="1"/>
    <col min="4" max="4" width="6.33203125" style="16" customWidth="1"/>
    <col min="5" max="5" width="7.109375" style="16" customWidth="1"/>
    <col min="6" max="6" width="82.6640625" style="17" customWidth="1"/>
    <col min="7" max="7" width="22.33203125" style="1" customWidth="1"/>
    <col min="8" max="8" width="15" customWidth="1"/>
  </cols>
  <sheetData>
    <row r="1" spans="1:7" ht="15.75" customHeight="1" x14ac:dyDescent="0.3">
      <c r="A1" s="45" t="s">
        <v>20</v>
      </c>
      <c r="B1" s="45"/>
      <c r="C1" s="45"/>
      <c r="D1" s="45"/>
      <c r="E1" s="45"/>
      <c r="F1" s="45"/>
    </row>
    <row r="2" spans="1:7" x14ac:dyDescent="0.3">
      <c r="A2" s="47" t="s">
        <v>21</v>
      </c>
      <c r="B2" s="47"/>
      <c r="C2" s="47"/>
      <c r="D2" s="47"/>
      <c r="E2" s="47"/>
      <c r="F2" s="47"/>
    </row>
    <row r="3" spans="1:7" ht="15" customHeight="1" x14ac:dyDescent="0.3"/>
    <row r="4" spans="1:7" ht="15" customHeight="1" x14ac:dyDescent="0.3">
      <c r="A4" s="42" t="s">
        <v>84</v>
      </c>
      <c r="B4" s="43">
        <v>2026</v>
      </c>
      <c r="C4" s="42" t="s">
        <v>85</v>
      </c>
      <c r="D4" s="42"/>
      <c r="E4" s="42"/>
      <c r="F4" s="56" t="s">
        <v>140</v>
      </c>
    </row>
    <row r="5" spans="1:7" ht="15" customHeight="1" x14ac:dyDescent="0.3">
      <c r="A5" s="46" t="s">
        <v>22</v>
      </c>
      <c r="B5" s="46"/>
      <c r="C5" s="46"/>
      <c r="D5" s="46"/>
      <c r="E5" s="46"/>
      <c r="F5" s="46"/>
    </row>
    <row r="6" spans="1:7" ht="39.6" customHeight="1" x14ac:dyDescent="0.3">
      <c r="A6" s="2" t="s">
        <v>78</v>
      </c>
      <c r="B6" s="2" t="s">
        <v>79</v>
      </c>
      <c r="C6" s="2" t="s">
        <v>80</v>
      </c>
      <c r="D6" s="2" t="s">
        <v>81</v>
      </c>
      <c r="E6" s="2" t="s">
        <v>82</v>
      </c>
      <c r="F6" s="2" t="s">
        <v>83</v>
      </c>
    </row>
    <row r="7" spans="1:7" ht="55.2" customHeight="1" x14ac:dyDescent="0.3">
      <c r="A7" s="23" t="s">
        <v>0</v>
      </c>
      <c r="B7" s="23">
        <v>3.02</v>
      </c>
      <c r="C7" s="11" t="s">
        <v>8</v>
      </c>
      <c r="D7" s="7">
        <v>168</v>
      </c>
      <c r="E7" s="7">
        <v>168</v>
      </c>
      <c r="F7" s="6" t="s">
        <v>86</v>
      </c>
    </row>
    <row r="8" spans="1:7" ht="81" customHeight="1" x14ac:dyDescent="0.3">
      <c r="A8" s="23" t="s">
        <v>1</v>
      </c>
      <c r="B8" s="23">
        <v>3.03</v>
      </c>
      <c r="C8" s="11" t="s">
        <v>9</v>
      </c>
      <c r="D8" s="7">
        <v>110</v>
      </c>
      <c r="E8" s="7">
        <v>110</v>
      </c>
      <c r="F8" s="6" t="s">
        <v>113</v>
      </c>
    </row>
    <row r="9" spans="1:7" ht="69.599999999999994" customHeight="1" x14ac:dyDescent="0.3">
      <c r="A9" s="23" t="s">
        <v>2</v>
      </c>
      <c r="B9" s="23">
        <v>3.04</v>
      </c>
      <c r="C9" s="19" t="s">
        <v>10</v>
      </c>
      <c r="D9" s="7">
        <v>43</v>
      </c>
      <c r="E9" s="7">
        <v>40</v>
      </c>
      <c r="F9" s="10" t="s">
        <v>114</v>
      </c>
    </row>
    <row r="10" spans="1:7" ht="154.80000000000001" customHeight="1" x14ac:dyDescent="0.3">
      <c r="A10" s="23" t="s">
        <v>3</v>
      </c>
      <c r="B10" s="23">
        <v>3.05</v>
      </c>
      <c r="C10" s="11" t="s">
        <v>11</v>
      </c>
      <c r="D10" s="7">
        <v>195</v>
      </c>
      <c r="E10" s="7">
        <v>195</v>
      </c>
      <c r="F10" s="6" t="s">
        <v>115</v>
      </c>
    </row>
    <row r="11" spans="1:7" ht="49.2" customHeight="1" x14ac:dyDescent="0.3">
      <c r="A11" s="40" t="s">
        <v>4</v>
      </c>
      <c r="B11" s="40">
        <v>3.06</v>
      </c>
      <c r="C11" s="8" t="s">
        <v>12</v>
      </c>
      <c r="D11" s="3">
        <v>25</v>
      </c>
      <c r="E11" s="3">
        <v>25</v>
      </c>
      <c r="F11" s="4" t="s">
        <v>116</v>
      </c>
    </row>
    <row r="12" spans="1:7" ht="61.8" customHeight="1" x14ac:dyDescent="0.3">
      <c r="A12" s="40" t="s">
        <v>5</v>
      </c>
      <c r="B12" s="40">
        <v>3.07</v>
      </c>
      <c r="C12" s="8" t="s">
        <v>13</v>
      </c>
      <c r="D12" s="3">
        <v>33</v>
      </c>
      <c r="E12" s="3">
        <v>33</v>
      </c>
      <c r="F12" s="4" t="s">
        <v>100</v>
      </c>
    </row>
    <row r="13" spans="1:7" ht="150" customHeight="1" x14ac:dyDescent="0.3">
      <c r="A13" s="23" t="s">
        <v>27</v>
      </c>
      <c r="B13" s="23">
        <v>3.08</v>
      </c>
      <c r="C13" s="10" t="s">
        <v>14</v>
      </c>
      <c r="D13" s="7">
        <v>254</v>
      </c>
      <c r="E13" s="7">
        <v>254</v>
      </c>
      <c r="F13" s="6" t="s">
        <v>117</v>
      </c>
    </row>
    <row r="14" spans="1:7" ht="119.4" customHeight="1" x14ac:dyDescent="0.3">
      <c r="A14" s="23" t="s">
        <v>6</v>
      </c>
      <c r="B14" s="23">
        <v>3.09</v>
      </c>
      <c r="C14" s="21" t="s">
        <v>15</v>
      </c>
      <c r="D14" s="22">
        <v>95</v>
      </c>
      <c r="E14" s="22">
        <v>95</v>
      </c>
      <c r="F14" s="51" t="s">
        <v>118</v>
      </c>
    </row>
    <row r="15" spans="1:7" s="12" customFormat="1" ht="58.8" customHeight="1" x14ac:dyDescent="0.3">
      <c r="A15" s="23" t="s">
        <v>16</v>
      </c>
      <c r="B15" s="41">
        <v>3.1</v>
      </c>
      <c r="C15" s="22" t="s">
        <v>17</v>
      </c>
      <c r="D15" s="22">
        <v>80</v>
      </c>
      <c r="E15" s="22">
        <v>80</v>
      </c>
      <c r="F15" s="51" t="s">
        <v>119</v>
      </c>
      <c r="G15" s="1"/>
    </row>
    <row r="16" spans="1:7" ht="106.2" customHeight="1" x14ac:dyDescent="0.3">
      <c r="A16" s="23" t="s">
        <v>7</v>
      </c>
      <c r="B16" s="23">
        <v>3.11</v>
      </c>
      <c r="C16" s="24" t="s">
        <v>18</v>
      </c>
      <c r="D16" s="24">
        <v>135</v>
      </c>
      <c r="E16" s="24">
        <v>125</v>
      </c>
      <c r="F16" s="53" t="s">
        <v>120</v>
      </c>
    </row>
    <row r="17" spans="1:6" x14ac:dyDescent="0.3">
      <c r="C17" s="37" t="s">
        <v>19</v>
      </c>
      <c r="D17" s="38">
        <f>SUM(D7:D16)</f>
        <v>1138</v>
      </c>
      <c r="E17" s="38">
        <f>SUM(E7:E16)</f>
        <v>1125</v>
      </c>
      <c r="F17" s="50">
        <f>E17/D17*100</f>
        <v>98.857644991212652</v>
      </c>
    </row>
    <row r="19" spans="1:6" x14ac:dyDescent="0.3">
      <c r="A19" s="44" t="s">
        <v>23</v>
      </c>
      <c r="B19" s="44"/>
      <c r="C19" s="44"/>
      <c r="D19" s="44"/>
      <c r="E19" s="44"/>
      <c r="F19" s="44"/>
    </row>
    <row r="20" spans="1:6" ht="20.399999999999999" x14ac:dyDescent="0.3">
      <c r="A20" s="40" t="s">
        <v>4</v>
      </c>
      <c r="B20" s="40">
        <v>4.0199999999999996</v>
      </c>
      <c r="C20" s="3" t="s">
        <v>26</v>
      </c>
      <c r="D20" s="5">
        <v>45</v>
      </c>
      <c r="E20" s="5">
        <v>45</v>
      </c>
      <c r="F20" s="6" t="s">
        <v>100</v>
      </c>
    </row>
    <row r="21" spans="1:6" ht="51" x14ac:dyDescent="0.3">
      <c r="A21" s="23" t="s">
        <v>5</v>
      </c>
      <c r="B21" s="23">
        <v>4.03</v>
      </c>
      <c r="C21" s="3" t="s">
        <v>13</v>
      </c>
      <c r="D21" s="7">
        <v>33</v>
      </c>
      <c r="E21" s="7">
        <v>33</v>
      </c>
      <c r="F21" s="6" t="s">
        <v>121</v>
      </c>
    </row>
    <row r="22" spans="1:6" ht="153" x14ac:dyDescent="0.3">
      <c r="A22" s="23" t="s">
        <v>24</v>
      </c>
      <c r="B22" s="23">
        <v>4.04</v>
      </c>
      <c r="C22" s="7" t="s">
        <v>14</v>
      </c>
      <c r="D22" s="7">
        <v>269</v>
      </c>
      <c r="E22" s="7">
        <v>269</v>
      </c>
      <c r="F22" s="6" t="s">
        <v>117</v>
      </c>
    </row>
    <row r="23" spans="1:6" ht="75" customHeight="1" x14ac:dyDescent="0.3">
      <c r="A23" s="23" t="s">
        <v>25</v>
      </c>
      <c r="B23" s="23">
        <v>4.05</v>
      </c>
      <c r="C23" s="11" t="s">
        <v>28</v>
      </c>
      <c r="D23" s="7">
        <v>55</v>
      </c>
      <c r="E23" s="7">
        <v>55</v>
      </c>
      <c r="F23" s="6" t="s">
        <v>100</v>
      </c>
    </row>
    <row r="24" spans="1:6" ht="30.6" x14ac:dyDescent="0.3">
      <c r="A24" s="40" t="s">
        <v>29</v>
      </c>
      <c r="B24" s="23">
        <v>4.0599999999999996</v>
      </c>
      <c r="C24" s="7" t="s">
        <v>30</v>
      </c>
      <c r="D24" s="3">
        <v>25</v>
      </c>
      <c r="E24" s="3">
        <v>22</v>
      </c>
      <c r="F24" s="10" t="s">
        <v>114</v>
      </c>
    </row>
    <row r="25" spans="1:6" ht="30.6" x14ac:dyDescent="0.3">
      <c r="A25" s="40" t="s">
        <v>31</v>
      </c>
      <c r="B25" s="23">
        <v>4.07</v>
      </c>
      <c r="C25" s="3" t="s">
        <v>32</v>
      </c>
      <c r="D25" s="3">
        <v>40</v>
      </c>
      <c r="E25" s="3">
        <v>40</v>
      </c>
      <c r="F25" s="4" t="s">
        <v>132</v>
      </c>
    </row>
    <row r="26" spans="1:6" ht="30.6" x14ac:dyDescent="0.3">
      <c r="A26" s="40" t="s">
        <v>33</v>
      </c>
      <c r="B26" s="23">
        <v>4.09</v>
      </c>
      <c r="C26" s="3" t="s">
        <v>34</v>
      </c>
      <c r="D26" s="25"/>
      <c r="E26" s="25"/>
      <c r="F26" s="8" t="s">
        <v>122</v>
      </c>
    </row>
    <row r="27" spans="1:6" ht="51" x14ac:dyDescent="0.3">
      <c r="A27" s="23" t="s">
        <v>36</v>
      </c>
      <c r="B27" s="41">
        <v>4.0999999999999996</v>
      </c>
      <c r="C27" s="3" t="s">
        <v>37</v>
      </c>
      <c r="D27" s="26"/>
      <c r="E27" s="26"/>
      <c r="F27" s="6" t="s">
        <v>123</v>
      </c>
    </row>
    <row r="28" spans="1:6" ht="82.2" customHeight="1" x14ac:dyDescent="0.3">
      <c r="A28" s="23" t="s">
        <v>38</v>
      </c>
      <c r="B28" s="23">
        <v>4.12</v>
      </c>
      <c r="C28" s="7" t="s">
        <v>35</v>
      </c>
      <c r="D28" s="26">
        <v>89</v>
      </c>
      <c r="E28" s="26">
        <v>89</v>
      </c>
      <c r="F28" s="9" t="s">
        <v>124</v>
      </c>
    </row>
    <row r="29" spans="1:6" ht="40.799999999999997" x14ac:dyDescent="0.3">
      <c r="A29" s="23" t="s">
        <v>40</v>
      </c>
      <c r="B29" s="23">
        <v>4.1500000000000004</v>
      </c>
      <c r="C29" s="8" t="s">
        <v>39</v>
      </c>
      <c r="D29" s="25"/>
      <c r="E29" s="25"/>
      <c r="F29" s="4" t="s">
        <v>125</v>
      </c>
    </row>
    <row r="30" spans="1:6" ht="89.4" customHeight="1" x14ac:dyDescent="0.3">
      <c r="A30" s="23" t="s">
        <v>41</v>
      </c>
      <c r="B30" s="23">
        <v>4.16</v>
      </c>
      <c r="C30" s="11" t="s">
        <v>42</v>
      </c>
      <c r="D30" s="7">
        <v>75</v>
      </c>
      <c r="E30" s="7">
        <v>75</v>
      </c>
      <c r="F30" s="6" t="s">
        <v>100</v>
      </c>
    </row>
    <row r="31" spans="1:6" x14ac:dyDescent="0.3">
      <c r="A31" s="7"/>
      <c r="B31" s="18"/>
      <c r="C31" s="36" t="s">
        <v>76</v>
      </c>
      <c r="D31" s="23">
        <f>SUM(D20:D30)-D28</f>
        <v>542</v>
      </c>
      <c r="E31" s="23"/>
      <c r="F31" s="11"/>
    </row>
    <row r="32" spans="1:6" x14ac:dyDescent="0.3">
      <c r="A32" s="7"/>
      <c r="B32" s="18"/>
      <c r="C32" s="36" t="s">
        <v>77</v>
      </c>
      <c r="D32" s="23">
        <f>SUM(D20:D26)+D28+D30</f>
        <v>631</v>
      </c>
      <c r="E32" s="23">
        <f>SUM(E20:E26)+E28+E30</f>
        <v>628</v>
      </c>
      <c r="F32" s="52">
        <f>E32/D32*100</f>
        <v>99.524564183835182</v>
      </c>
    </row>
    <row r="34" spans="1:6" x14ac:dyDescent="0.3">
      <c r="A34" s="44" t="s">
        <v>43</v>
      </c>
      <c r="B34" s="44"/>
      <c r="C34" s="44"/>
      <c r="D34" s="44"/>
      <c r="E34" s="44"/>
      <c r="F34" s="44"/>
    </row>
    <row r="35" spans="1:6" ht="61.2" customHeight="1" x14ac:dyDescent="0.3">
      <c r="A35" s="23" t="s">
        <v>44</v>
      </c>
      <c r="B35" s="23">
        <v>5.01</v>
      </c>
      <c r="C35" s="11" t="s">
        <v>55</v>
      </c>
      <c r="D35" s="24">
        <v>45</v>
      </c>
      <c r="E35" s="24">
        <v>45</v>
      </c>
      <c r="F35" s="53" t="s">
        <v>126</v>
      </c>
    </row>
    <row r="36" spans="1:6" ht="87" customHeight="1" x14ac:dyDescent="0.3">
      <c r="A36" s="23" t="s">
        <v>1</v>
      </c>
      <c r="B36" s="23">
        <v>5.0199999999999996</v>
      </c>
      <c r="C36" s="21" t="s">
        <v>56</v>
      </c>
      <c r="D36" s="22">
        <v>100</v>
      </c>
      <c r="E36" s="22">
        <v>100</v>
      </c>
      <c r="F36" s="51" t="s">
        <v>127</v>
      </c>
    </row>
    <row r="37" spans="1:6" ht="71.400000000000006" x14ac:dyDescent="0.3">
      <c r="A37" s="30" t="s">
        <v>45</v>
      </c>
      <c r="B37" s="23">
        <v>5.03</v>
      </c>
      <c r="C37" s="7" t="s">
        <v>57</v>
      </c>
      <c r="D37" s="7">
        <v>85</v>
      </c>
      <c r="E37" s="7">
        <v>85</v>
      </c>
      <c r="F37" s="6" t="s">
        <v>100</v>
      </c>
    </row>
    <row r="38" spans="1:6" ht="153" x14ac:dyDescent="0.3">
      <c r="A38" s="20" t="s">
        <v>46</v>
      </c>
      <c r="B38" s="20">
        <v>5.04</v>
      </c>
      <c r="C38" s="21" t="s">
        <v>58</v>
      </c>
      <c r="D38" s="21">
        <v>171</v>
      </c>
      <c r="E38" s="21">
        <v>168</v>
      </c>
      <c r="F38" s="51" t="s">
        <v>129</v>
      </c>
    </row>
    <row r="39" spans="1:6" ht="102" x14ac:dyDescent="0.3">
      <c r="A39" s="27" t="s">
        <v>47</v>
      </c>
      <c r="B39" s="27">
        <v>5.05</v>
      </c>
      <c r="C39" s="28" t="s">
        <v>59</v>
      </c>
      <c r="D39" s="28">
        <v>83</v>
      </c>
      <c r="E39" s="28">
        <v>83</v>
      </c>
      <c r="F39" s="33" t="s">
        <v>130</v>
      </c>
    </row>
    <row r="40" spans="1:6" ht="60" customHeight="1" x14ac:dyDescent="0.3">
      <c r="A40" s="27" t="s">
        <v>48</v>
      </c>
      <c r="B40" s="27">
        <v>5.0599999999999996</v>
      </c>
      <c r="C40" s="28" t="s">
        <v>60</v>
      </c>
      <c r="D40" s="28">
        <v>55</v>
      </c>
      <c r="E40" s="28">
        <v>55</v>
      </c>
      <c r="F40" s="33" t="s">
        <v>100</v>
      </c>
    </row>
    <row r="41" spans="1:6" ht="67.8" customHeight="1" x14ac:dyDescent="0.3">
      <c r="A41" s="29" t="s">
        <v>49</v>
      </c>
      <c r="B41" s="29">
        <v>5.07</v>
      </c>
      <c r="C41" s="28" t="s">
        <v>61</v>
      </c>
      <c r="D41" s="28">
        <v>88</v>
      </c>
      <c r="E41" s="28">
        <v>85</v>
      </c>
      <c r="F41" s="33" t="s">
        <v>131</v>
      </c>
    </row>
    <row r="42" spans="1:6" ht="61.2" x14ac:dyDescent="0.3">
      <c r="A42" s="27" t="s">
        <v>50</v>
      </c>
      <c r="B42" s="27">
        <v>5.08</v>
      </c>
      <c r="C42" s="28" t="s">
        <v>62</v>
      </c>
      <c r="D42" s="28">
        <v>98</v>
      </c>
      <c r="E42" s="28">
        <v>98</v>
      </c>
      <c r="F42" s="33" t="s">
        <v>100</v>
      </c>
    </row>
    <row r="43" spans="1:6" ht="160.19999999999999" customHeight="1" x14ac:dyDescent="0.3">
      <c r="A43" s="29" t="s">
        <v>51</v>
      </c>
      <c r="B43" s="29">
        <v>5.09</v>
      </c>
      <c r="C43" s="3" t="s">
        <v>63</v>
      </c>
      <c r="D43" s="5">
        <v>126</v>
      </c>
      <c r="E43" s="5">
        <v>123</v>
      </c>
      <c r="F43" s="6" t="s">
        <v>128</v>
      </c>
    </row>
    <row r="44" spans="1:6" ht="20.399999999999999" x14ac:dyDescent="0.3">
      <c r="A44" s="29" t="s">
        <v>0</v>
      </c>
      <c r="B44" s="39">
        <v>5.0999999999999996</v>
      </c>
      <c r="C44" s="34" t="s">
        <v>64</v>
      </c>
      <c r="D44" s="5">
        <v>33</v>
      </c>
      <c r="E44" s="5">
        <v>33</v>
      </c>
      <c r="F44" s="4" t="s">
        <v>133</v>
      </c>
    </row>
    <row r="45" spans="1:6" ht="20.399999999999999" x14ac:dyDescent="0.3">
      <c r="A45" s="31" t="s">
        <v>52</v>
      </c>
      <c r="B45" s="31">
        <v>5.1100000000000003</v>
      </c>
      <c r="C45" s="32" t="s">
        <v>65</v>
      </c>
      <c r="D45" s="32">
        <v>8</v>
      </c>
      <c r="E45" s="32">
        <v>6</v>
      </c>
      <c r="F45" s="33" t="s">
        <v>134</v>
      </c>
    </row>
    <row r="46" spans="1:6" ht="30.6" x14ac:dyDescent="0.3">
      <c r="A46" s="27" t="s">
        <v>66</v>
      </c>
      <c r="B46" s="27">
        <v>5.12</v>
      </c>
      <c r="C46" s="32" t="s">
        <v>67</v>
      </c>
      <c r="D46" s="28">
        <v>35</v>
      </c>
      <c r="E46" s="28">
        <v>35</v>
      </c>
      <c r="F46" s="33" t="s">
        <v>135</v>
      </c>
    </row>
    <row r="47" spans="1:6" ht="48" customHeight="1" x14ac:dyDescent="0.3">
      <c r="A47" s="27" t="s">
        <v>53</v>
      </c>
      <c r="B47" s="27">
        <v>5.13</v>
      </c>
      <c r="C47" s="33" t="s">
        <v>68</v>
      </c>
      <c r="D47" s="28">
        <v>71</v>
      </c>
      <c r="E47" s="28">
        <v>67</v>
      </c>
      <c r="F47" s="33" t="s">
        <v>138</v>
      </c>
    </row>
    <row r="48" spans="1:6" ht="61.2" x14ac:dyDescent="0.3">
      <c r="A48" s="27" t="s">
        <v>54</v>
      </c>
      <c r="B48" s="27">
        <v>5.14</v>
      </c>
      <c r="C48" s="28" t="s">
        <v>69</v>
      </c>
      <c r="D48" s="28">
        <v>120</v>
      </c>
      <c r="E48" s="28">
        <v>117</v>
      </c>
      <c r="F48" s="33" t="s">
        <v>136</v>
      </c>
    </row>
    <row r="49" spans="1:6" ht="51" x14ac:dyDescent="0.3">
      <c r="A49" s="27" t="s">
        <v>70</v>
      </c>
      <c r="B49" s="27">
        <v>5.15</v>
      </c>
      <c r="C49" s="28" t="s">
        <v>71</v>
      </c>
      <c r="D49" s="28">
        <v>41</v>
      </c>
      <c r="E49" s="28">
        <v>41</v>
      </c>
      <c r="F49" s="33" t="s">
        <v>100</v>
      </c>
    </row>
    <row r="50" spans="1:6" ht="52.8" customHeight="1" x14ac:dyDescent="0.3">
      <c r="A50" s="20" t="s">
        <v>31</v>
      </c>
      <c r="B50" s="20">
        <v>5.16</v>
      </c>
      <c r="C50" s="22" t="s">
        <v>72</v>
      </c>
      <c r="D50" s="21">
        <v>125</v>
      </c>
      <c r="E50" s="21">
        <v>118</v>
      </c>
      <c r="F50" s="51" t="s">
        <v>137</v>
      </c>
    </row>
    <row r="51" spans="1:6" ht="30.6" x14ac:dyDescent="0.3">
      <c r="A51" s="27" t="s">
        <v>73</v>
      </c>
      <c r="B51" s="29">
        <v>5.17</v>
      </c>
      <c r="C51" s="28" t="s">
        <v>74</v>
      </c>
      <c r="D51" s="28">
        <v>40</v>
      </c>
      <c r="E51" s="28">
        <v>40</v>
      </c>
      <c r="F51" s="33" t="s">
        <v>139</v>
      </c>
    </row>
    <row r="52" spans="1:6" x14ac:dyDescent="0.3">
      <c r="A52" s="27"/>
      <c r="B52" s="27"/>
      <c r="C52" s="35" t="s">
        <v>75</v>
      </c>
      <c r="D52" s="27">
        <f>SUM(D35:D51)</f>
        <v>1324</v>
      </c>
      <c r="E52" s="27">
        <f>SUM(E35:E51)</f>
        <v>1299</v>
      </c>
      <c r="F52" s="55">
        <f>E52/D52*100</f>
        <v>98.111782477341393</v>
      </c>
    </row>
  </sheetData>
  <mergeCells count="5">
    <mergeCell ref="A19:F19"/>
    <mergeCell ref="A34:F34"/>
    <mergeCell ref="A1:F1"/>
    <mergeCell ref="A5:F5"/>
    <mergeCell ref="A2:F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A5F70-1FEF-4964-A9BD-EAC92BF1F3F5}">
  <dimension ref="A1:G52"/>
  <sheetViews>
    <sheetView workbookViewId="0">
      <selection activeCell="F4" sqref="F4"/>
    </sheetView>
  </sheetViews>
  <sheetFormatPr defaultColWidth="11.33203125" defaultRowHeight="14.4" x14ac:dyDescent="0.3"/>
  <cols>
    <col min="1" max="1" width="10.77734375" style="13" customWidth="1"/>
    <col min="2" max="2" width="5.88671875" style="14" customWidth="1"/>
    <col min="3" max="3" width="30.109375" style="15" customWidth="1"/>
    <col min="4" max="4" width="7.33203125" style="16" customWidth="1"/>
    <col min="5" max="5" width="7.109375" style="16" customWidth="1"/>
    <col min="6" max="6" width="82.6640625" style="17" customWidth="1"/>
    <col min="7" max="7" width="22.33203125" style="1" customWidth="1"/>
    <col min="8" max="8" width="15" customWidth="1"/>
  </cols>
  <sheetData>
    <row r="1" spans="1:7" ht="15.75" customHeight="1" x14ac:dyDescent="0.3">
      <c r="A1" s="45" t="s">
        <v>20</v>
      </c>
      <c r="B1" s="45"/>
      <c r="C1" s="45"/>
      <c r="D1" s="45"/>
      <c r="E1" s="45"/>
      <c r="F1" s="45"/>
    </row>
    <row r="2" spans="1:7" x14ac:dyDescent="0.3">
      <c r="A2" s="47" t="s">
        <v>21</v>
      </c>
      <c r="B2" s="47"/>
      <c r="C2" s="47"/>
      <c r="D2" s="47"/>
      <c r="E2" s="47"/>
      <c r="F2" s="47"/>
    </row>
    <row r="3" spans="1:7" ht="15" customHeight="1" x14ac:dyDescent="0.3"/>
    <row r="4" spans="1:7" ht="15" customHeight="1" x14ac:dyDescent="0.3">
      <c r="A4" s="42" t="s">
        <v>84</v>
      </c>
      <c r="B4" s="43">
        <v>2026</v>
      </c>
      <c r="C4" s="42" t="s">
        <v>85</v>
      </c>
      <c r="D4" s="42"/>
      <c r="E4" s="42"/>
      <c r="F4" s="56" t="s">
        <v>140</v>
      </c>
    </row>
    <row r="5" spans="1:7" ht="15" customHeight="1" x14ac:dyDescent="0.3">
      <c r="A5" s="46" t="s">
        <v>22</v>
      </c>
      <c r="B5" s="46"/>
      <c r="C5" s="46"/>
      <c r="D5" s="46"/>
      <c r="E5" s="46"/>
      <c r="F5" s="46"/>
    </row>
    <row r="6" spans="1:7" ht="39.6" customHeight="1" x14ac:dyDescent="0.3">
      <c r="A6" s="2" t="s">
        <v>78</v>
      </c>
      <c r="B6" s="2" t="s">
        <v>79</v>
      </c>
      <c r="C6" s="2" t="s">
        <v>80</v>
      </c>
      <c r="D6" s="2" t="s">
        <v>81</v>
      </c>
      <c r="E6" s="2" t="s">
        <v>82</v>
      </c>
      <c r="F6" s="2" t="s">
        <v>83</v>
      </c>
    </row>
    <row r="7" spans="1:7" ht="55.2" customHeight="1" x14ac:dyDescent="0.3">
      <c r="A7" s="23" t="s">
        <v>0</v>
      </c>
      <c r="B7" s="23">
        <v>3.02</v>
      </c>
      <c r="C7" s="11" t="s">
        <v>8</v>
      </c>
      <c r="D7" s="7">
        <v>168</v>
      </c>
      <c r="E7" s="7">
        <v>168</v>
      </c>
      <c r="F7" s="6" t="s">
        <v>86</v>
      </c>
    </row>
    <row r="8" spans="1:7" ht="81" customHeight="1" x14ac:dyDescent="0.3">
      <c r="A8" s="23" t="s">
        <v>1</v>
      </c>
      <c r="B8" s="23">
        <v>3.03</v>
      </c>
      <c r="C8" s="11" t="s">
        <v>9</v>
      </c>
      <c r="D8" s="7">
        <v>110</v>
      </c>
      <c r="E8" s="7">
        <v>100</v>
      </c>
      <c r="F8" s="6" t="s">
        <v>87</v>
      </c>
    </row>
    <row r="9" spans="1:7" ht="69.599999999999994" customHeight="1" x14ac:dyDescent="0.3">
      <c r="A9" s="23" t="s">
        <v>2</v>
      </c>
      <c r="B9" s="23">
        <v>3.04</v>
      </c>
      <c r="C9" s="19" t="s">
        <v>10</v>
      </c>
      <c r="D9" s="7">
        <v>43</v>
      </c>
      <c r="E9" s="7">
        <v>43</v>
      </c>
      <c r="F9" s="19" t="s">
        <v>86</v>
      </c>
    </row>
    <row r="10" spans="1:7" ht="154.80000000000001" customHeight="1" x14ac:dyDescent="0.3">
      <c r="A10" s="23" t="s">
        <v>3</v>
      </c>
      <c r="B10" s="23">
        <v>3.05</v>
      </c>
      <c r="C10" s="11" t="s">
        <v>11</v>
      </c>
      <c r="D10" s="7">
        <v>195</v>
      </c>
      <c r="E10" s="7">
        <v>190</v>
      </c>
      <c r="F10" s="6" t="s">
        <v>92</v>
      </c>
    </row>
    <row r="11" spans="1:7" ht="49.2" customHeight="1" x14ac:dyDescent="0.3">
      <c r="A11" s="40" t="s">
        <v>4</v>
      </c>
      <c r="B11" s="40">
        <v>3.06</v>
      </c>
      <c r="C11" s="8" t="s">
        <v>12</v>
      </c>
      <c r="D11" s="3">
        <v>25</v>
      </c>
      <c r="E11" s="3">
        <v>20</v>
      </c>
      <c r="F11" s="4" t="s">
        <v>91</v>
      </c>
    </row>
    <row r="12" spans="1:7" ht="61.8" customHeight="1" x14ac:dyDescent="0.3">
      <c r="A12" s="40" t="s">
        <v>5</v>
      </c>
      <c r="B12" s="40">
        <v>3.07</v>
      </c>
      <c r="C12" s="8" t="s">
        <v>13</v>
      </c>
      <c r="D12" s="3">
        <v>33</v>
      </c>
      <c r="E12" s="3">
        <v>33</v>
      </c>
      <c r="F12" s="19" t="s">
        <v>86</v>
      </c>
    </row>
    <row r="13" spans="1:7" ht="160.80000000000001" customHeight="1" x14ac:dyDescent="0.3">
      <c r="A13" s="23" t="s">
        <v>27</v>
      </c>
      <c r="B13" s="23">
        <v>3.08</v>
      </c>
      <c r="C13" s="10" t="s">
        <v>88</v>
      </c>
      <c r="D13" s="7">
        <v>254</v>
      </c>
      <c r="E13" s="7">
        <v>254</v>
      </c>
      <c r="F13" s="19" t="s">
        <v>86</v>
      </c>
    </row>
    <row r="14" spans="1:7" ht="119.4" customHeight="1" x14ac:dyDescent="0.3">
      <c r="A14" s="23" t="s">
        <v>6</v>
      </c>
      <c r="B14" s="23">
        <v>3.09</v>
      </c>
      <c r="C14" s="21" t="s">
        <v>15</v>
      </c>
      <c r="D14" s="22">
        <v>95</v>
      </c>
      <c r="E14" s="22">
        <v>90</v>
      </c>
      <c r="F14" s="51" t="s">
        <v>90</v>
      </c>
    </row>
    <row r="15" spans="1:7" s="12" customFormat="1" ht="58.8" customHeight="1" x14ac:dyDescent="0.3">
      <c r="A15" s="23" t="s">
        <v>16</v>
      </c>
      <c r="B15" s="41">
        <v>3.1</v>
      </c>
      <c r="C15" s="22" t="s">
        <v>17</v>
      </c>
      <c r="D15" s="22">
        <v>80</v>
      </c>
      <c r="E15" s="22">
        <v>80</v>
      </c>
      <c r="F15" s="48" t="s">
        <v>89</v>
      </c>
      <c r="G15" s="1"/>
    </row>
    <row r="16" spans="1:7" ht="106.2" customHeight="1" x14ac:dyDescent="0.3">
      <c r="A16" s="23" t="s">
        <v>7</v>
      </c>
      <c r="B16" s="23">
        <v>3.11</v>
      </c>
      <c r="C16" s="24" t="s">
        <v>18</v>
      </c>
      <c r="D16" s="24">
        <v>135</v>
      </c>
      <c r="E16" s="24">
        <v>130</v>
      </c>
      <c r="F16" s="49" t="s">
        <v>93</v>
      </c>
    </row>
    <row r="17" spans="1:6" x14ac:dyDescent="0.3">
      <c r="C17" s="37" t="s">
        <v>19</v>
      </c>
      <c r="D17" s="38">
        <f>SUM(D7:D16)</f>
        <v>1138</v>
      </c>
      <c r="E17" s="38">
        <f>SUM(E7:E16)</f>
        <v>1108</v>
      </c>
      <c r="F17" s="50">
        <f>E17/D17*100</f>
        <v>97.363796133567661</v>
      </c>
    </row>
    <row r="19" spans="1:6" x14ac:dyDescent="0.3">
      <c r="A19" s="44" t="s">
        <v>23</v>
      </c>
      <c r="B19" s="44"/>
      <c r="C19" s="44"/>
      <c r="D19" s="44"/>
      <c r="E19" s="44"/>
      <c r="F19" s="44"/>
    </row>
    <row r="20" spans="1:6" ht="20.399999999999999" x14ac:dyDescent="0.3">
      <c r="A20" s="40" t="s">
        <v>4</v>
      </c>
      <c r="B20" s="40">
        <v>4.0199999999999996</v>
      </c>
      <c r="C20" s="3" t="s">
        <v>26</v>
      </c>
      <c r="D20" s="5">
        <v>45</v>
      </c>
      <c r="E20" s="5">
        <v>40</v>
      </c>
      <c r="F20" s="4" t="s">
        <v>91</v>
      </c>
    </row>
    <row r="21" spans="1:6" ht="51" x14ac:dyDescent="0.3">
      <c r="A21" s="23" t="s">
        <v>5</v>
      </c>
      <c r="B21" s="23">
        <v>4.03</v>
      </c>
      <c r="C21" s="3" t="s">
        <v>13</v>
      </c>
      <c r="D21" s="7">
        <v>33</v>
      </c>
      <c r="E21" s="7">
        <v>33</v>
      </c>
      <c r="F21" s="6" t="s">
        <v>100</v>
      </c>
    </row>
    <row r="22" spans="1:6" ht="153" x14ac:dyDescent="0.3">
      <c r="A22" s="23" t="s">
        <v>24</v>
      </c>
      <c r="B22" s="23">
        <v>4.04</v>
      </c>
      <c r="C22" s="7" t="s">
        <v>14</v>
      </c>
      <c r="D22" s="7">
        <v>269</v>
      </c>
      <c r="E22" s="7">
        <v>269</v>
      </c>
      <c r="F22" s="6" t="s">
        <v>102</v>
      </c>
    </row>
    <row r="23" spans="1:6" ht="75" customHeight="1" x14ac:dyDescent="0.3">
      <c r="A23" s="23" t="s">
        <v>25</v>
      </c>
      <c r="B23" s="23">
        <v>4.05</v>
      </c>
      <c r="C23" s="11" t="s">
        <v>28</v>
      </c>
      <c r="D23" s="7">
        <v>55</v>
      </c>
      <c r="E23" s="7">
        <v>55</v>
      </c>
      <c r="F23" s="6" t="s">
        <v>94</v>
      </c>
    </row>
    <row r="24" spans="1:6" ht="30.6" x14ac:dyDescent="0.3">
      <c r="A24" s="40" t="s">
        <v>29</v>
      </c>
      <c r="B24" s="23">
        <v>4.0599999999999996</v>
      </c>
      <c r="C24" s="7" t="s">
        <v>30</v>
      </c>
      <c r="D24" s="3">
        <v>25</v>
      </c>
      <c r="E24" s="3">
        <v>25</v>
      </c>
      <c r="F24" s="4" t="s">
        <v>101</v>
      </c>
    </row>
    <row r="25" spans="1:6" ht="30.6" x14ac:dyDescent="0.3">
      <c r="A25" s="40" t="s">
        <v>31</v>
      </c>
      <c r="B25" s="23">
        <v>4.07</v>
      </c>
      <c r="C25" s="3" t="s">
        <v>32</v>
      </c>
      <c r="D25" s="3">
        <v>40</v>
      </c>
      <c r="E25" s="3">
        <v>40</v>
      </c>
      <c r="F25" s="4" t="s">
        <v>101</v>
      </c>
    </row>
    <row r="26" spans="1:6" ht="30.6" x14ac:dyDescent="0.3">
      <c r="A26" s="40" t="s">
        <v>33</v>
      </c>
      <c r="B26" s="23">
        <v>4.09</v>
      </c>
      <c r="C26" s="3" t="s">
        <v>34</v>
      </c>
      <c r="D26" s="25">
        <v>25</v>
      </c>
      <c r="E26" s="25"/>
      <c r="F26" s="8" t="s">
        <v>99</v>
      </c>
    </row>
    <row r="27" spans="1:6" ht="51" x14ac:dyDescent="0.3">
      <c r="A27" s="23" t="s">
        <v>36</v>
      </c>
      <c r="B27" s="41">
        <v>4.0999999999999996</v>
      </c>
      <c r="C27" s="3" t="s">
        <v>37</v>
      </c>
      <c r="D27" s="26">
        <v>35</v>
      </c>
      <c r="E27" s="26">
        <v>30</v>
      </c>
      <c r="F27" s="6" t="s">
        <v>95</v>
      </c>
    </row>
    <row r="28" spans="1:6" ht="82.2" customHeight="1" x14ac:dyDescent="0.3">
      <c r="A28" s="23" t="s">
        <v>38</v>
      </c>
      <c r="B28" s="23">
        <v>4.12</v>
      </c>
      <c r="C28" s="7" t="s">
        <v>35</v>
      </c>
      <c r="D28" s="26"/>
      <c r="E28" s="26"/>
      <c r="F28" s="9" t="s">
        <v>97</v>
      </c>
    </row>
    <row r="29" spans="1:6" ht="40.799999999999997" x14ac:dyDescent="0.3">
      <c r="A29" s="23" t="s">
        <v>40</v>
      </c>
      <c r="B29" s="23">
        <v>4.1500000000000004</v>
      </c>
      <c r="C29" s="8" t="s">
        <v>39</v>
      </c>
      <c r="D29" s="25">
        <v>15</v>
      </c>
      <c r="E29" s="25">
        <v>15</v>
      </c>
      <c r="F29" s="4" t="s">
        <v>96</v>
      </c>
    </row>
    <row r="30" spans="1:6" ht="89.4" customHeight="1" x14ac:dyDescent="0.3">
      <c r="A30" s="23" t="s">
        <v>41</v>
      </c>
      <c r="B30" s="23">
        <v>4.16</v>
      </c>
      <c r="C30" s="11" t="s">
        <v>42</v>
      </c>
      <c r="D30" s="7">
        <v>75</v>
      </c>
      <c r="E30" s="7">
        <v>70</v>
      </c>
      <c r="F30" s="6" t="s">
        <v>98</v>
      </c>
    </row>
    <row r="31" spans="1:6" x14ac:dyDescent="0.3">
      <c r="A31" s="7"/>
      <c r="B31" s="18"/>
      <c r="C31" s="36" t="s">
        <v>76</v>
      </c>
      <c r="D31" s="23">
        <f>SUM(D20:D30)-D28</f>
        <v>617</v>
      </c>
      <c r="E31" s="23">
        <f>SUM(E20:E30)-E28</f>
        <v>577</v>
      </c>
      <c r="F31" s="52">
        <f>E31/D31*100</f>
        <v>93.517017828200977</v>
      </c>
    </row>
    <row r="32" spans="1:6" x14ac:dyDescent="0.3">
      <c r="A32" s="7"/>
      <c r="B32" s="18"/>
      <c r="C32" s="36" t="s">
        <v>77</v>
      </c>
      <c r="D32" s="23">
        <f>SUM(D20:D26)+D28+D30</f>
        <v>567</v>
      </c>
      <c r="E32" s="23"/>
      <c r="F32" s="11"/>
    </row>
    <row r="34" spans="1:6" x14ac:dyDescent="0.3">
      <c r="A34" s="44" t="s">
        <v>43</v>
      </c>
      <c r="B34" s="44"/>
      <c r="C34" s="44"/>
      <c r="D34" s="44"/>
      <c r="E34" s="44"/>
      <c r="F34" s="44"/>
    </row>
    <row r="35" spans="1:6" ht="61.2" customHeight="1" x14ac:dyDescent="0.3">
      <c r="A35" s="23" t="s">
        <v>44</v>
      </c>
      <c r="B35" s="23">
        <v>5.01</v>
      </c>
      <c r="C35" s="11" t="s">
        <v>55</v>
      </c>
      <c r="D35" s="24">
        <v>45</v>
      </c>
      <c r="E35" s="24">
        <v>45</v>
      </c>
      <c r="F35" s="53" t="s">
        <v>107</v>
      </c>
    </row>
    <row r="36" spans="1:6" ht="87" customHeight="1" x14ac:dyDescent="0.3">
      <c r="A36" s="23" t="s">
        <v>1</v>
      </c>
      <c r="B36" s="23">
        <v>5.0199999999999996</v>
      </c>
      <c r="C36" s="21" t="s">
        <v>103</v>
      </c>
      <c r="D36" s="22">
        <v>100</v>
      </c>
      <c r="E36" s="22">
        <v>95</v>
      </c>
      <c r="F36" s="51" t="s">
        <v>104</v>
      </c>
    </row>
    <row r="37" spans="1:6" ht="71.400000000000006" x14ac:dyDescent="0.3">
      <c r="A37" s="30" t="s">
        <v>45</v>
      </c>
      <c r="B37" s="23">
        <v>5.03</v>
      </c>
      <c r="C37" s="7" t="s">
        <v>57</v>
      </c>
      <c r="D37" s="7">
        <v>85</v>
      </c>
      <c r="E37" s="7">
        <v>83</v>
      </c>
      <c r="F37" s="6" t="s">
        <v>105</v>
      </c>
    </row>
    <row r="38" spans="1:6" ht="153" x14ac:dyDescent="0.3">
      <c r="A38" s="20" t="s">
        <v>46</v>
      </c>
      <c r="B38" s="20">
        <v>5.04</v>
      </c>
      <c r="C38" s="21" t="s">
        <v>58</v>
      </c>
      <c r="D38" s="20">
        <v>171</v>
      </c>
      <c r="E38" s="21">
        <v>171</v>
      </c>
      <c r="F38" s="51" t="s">
        <v>106</v>
      </c>
    </row>
    <row r="39" spans="1:6" ht="102" x14ac:dyDescent="0.3">
      <c r="A39" s="27" t="s">
        <v>47</v>
      </c>
      <c r="B39" s="27">
        <v>5.05</v>
      </c>
      <c r="C39" s="28" t="s">
        <v>59</v>
      </c>
      <c r="D39" s="27">
        <v>83</v>
      </c>
      <c r="E39" s="28">
        <v>83</v>
      </c>
      <c r="F39" s="33" t="s">
        <v>107</v>
      </c>
    </row>
    <row r="40" spans="1:6" ht="60" customHeight="1" x14ac:dyDescent="0.3">
      <c r="A40" s="27" t="s">
        <v>48</v>
      </c>
      <c r="B40" s="27">
        <v>5.0599999999999996</v>
      </c>
      <c r="C40" s="28" t="s">
        <v>60</v>
      </c>
      <c r="D40" s="27">
        <v>55</v>
      </c>
      <c r="E40" s="28">
        <v>55</v>
      </c>
      <c r="F40" s="33" t="s">
        <v>107</v>
      </c>
    </row>
    <row r="41" spans="1:6" ht="67.8" customHeight="1" x14ac:dyDescent="0.3">
      <c r="A41" s="29" t="s">
        <v>49</v>
      </c>
      <c r="B41" s="29">
        <v>5.07</v>
      </c>
      <c r="C41" s="28" t="s">
        <v>61</v>
      </c>
      <c r="D41" s="28">
        <v>88</v>
      </c>
      <c r="E41" s="28">
        <v>83</v>
      </c>
      <c r="F41" s="33" t="s">
        <v>108</v>
      </c>
    </row>
    <row r="42" spans="1:6" ht="61.2" x14ac:dyDescent="0.3">
      <c r="A42" s="27" t="s">
        <v>50</v>
      </c>
      <c r="B42" s="27">
        <v>5.08</v>
      </c>
      <c r="C42" s="28" t="s">
        <v>62</v>
      </c>
      <c r="D42" s="28">
        <v>98</v>
      </c>
      <c r="E42" s="28">
        <v>98</v>
      </c>
      <c r="F42" s="33" t="s">
        <v>107</v>
      </c>
    </row>
    <row r="43" spans="1:6" ht="160.19999999999999" customHeight="1" x14ac:dyDescent="0.3">
      <c r="A43" s="29" t="s">
        <v>51</v>
      </c>
      <c r="B43" s="29">
        <v>5.09</v>
      </c>
      <c r="C43" s="3" t="s">
        <v>63</v>
      </c>
      <c r="D43" s="5">
        <v>126</v>
      </c>
      <c r="E43" s="5">
        <v>126</v>
      </c>
      <c r="F43" s="33" t="s">
        <v>107</v>
      </c>
    </row>
    <row r="44" spans="1:6" ht="20.399999999999999" x14ac:dyDescent="0.3">
      <c r="A44" s="29" t="s">
        <v>0</v>
      </c>
      <c r="B44" s="39">
        <v>5.0999999999999996</v>
      </c>
      <c r="C44" s="34" t="s">
        <v>64</v>
      </c>
      <c r="D44" s="5">
        <v>33</v>
      </c>
      <c r="E44" s="5">
        <v>33</v>
      </c>
      <c r="F44" s="4" t="s">
        <v>109</v>
      </c>
    </row>
    <row r="45" spans="1:6" ht="20.399999999999999" x14ac:dyDescent="0.3">
      <c r="A45" s="31" t="s">
        <v>52</v>
      </c>
      <c r="B45" s="31">
        <v>5.1100000000000003</v>
      </c>
      <c r="C45" s="32" t="s">
        <v>65</v>
      </c>
      <c r="D45" s="32">
        <v>8</v>
      </c>
      <c r="E45" s="32">
        <v>8</v>
      </c>
      <c r="F45" s="33" t="s">
        <v>110</v>
      </c>
    </row>
    <row r="46" spans="1:6" ht="30.6" x14ac:dyDescent="0.3">
      <c r="A46" s="27" t="s">
        <v>66</v>
      </c>
      <c r="B46" s="27">
        <v>5.12</v>
      </c>
      <c r="C46" s="32" t="s">
        <v>67</v>
      </c>
      <c r="D46" s="28">
        <v>35</v>
      </c>
      <c r="E46" s="28">
        <v>35</v>
      </c>
      <c r="F46" s="33" t="s">
        <v>107</v>
      </c>
    </row>
    <row r="47" spans="1:6" ht="48" customHeight="1" x14ac:dyDescent="0.3">
      <c r="A47" s="27" t="s">
        <v>53</v>
      </c>
      <c r="B47" s="27">
        <v>5.13</v>
      </c>
      <c r="C47" s="33" t="s">
        <v>68</v>
      </c>
      <c r="D47" s="28">
        <v>71</v>
      </c>
      <c r="E47" s="28">
        <v>66</v>
      </c>
      <c r="F47" s="33" t="s">
        <v>111</v>
      </c>
    </row>
    <row r="48" spans="1:6" ht="61.2" x14ac:dyDescent="0.3">
      <c r="A48" s="27" t="s">
        <v>54</v>
      </c>
      <c r="B48" s="27">
        <v>5.14</v>
      </c>
      <c r="C48" s="28" t="s">
        <v>69</v>
      </c>
      <c r="D48" s="28">
        <v>120</v>
      </c>
      <c r="E48" s="28">
        <v>120</v>
      </c>
      <c r="F48" s="33" t="s">
        <v>100</v>
      </c>
    </row>
    <row r="49" spans="1:6" ht="51" x14ac:dyDescent="0.3">
      <c r="A49" s="27" t="s">
        <v>70</v>
      </c>
      <c r="B49" s="27">
        <v>5.15</v>
      </c>
      <c r="C49" s="28" t="s">
        <v>71</v>
      </c>
      <c r="D49" s="28">
        <v>41</v>
      </c>
      <c r="E49" s="28">
        <v>41</v>
      </c>
      <c r="F49" s="33" t="s">
        <v>100</v>
      </c>
    </row>
    <row r="50" spans="1:6" ht="52.8" customHeight="1" x14ac:dyDescent="0.3">
      <c r="A50" s="20" t="s">
        <v>31</v>
      </c>
      <c r="B50" s="20">
        <v>5.16</v>
      </c>
      <c r="C50" s="22" t="s">
        <v>72</v>
      </c>
      <c r="D50" s="21">
        <v>125</v>
      </c>
      <c r="E50" s="21">
        <v>120</v>
      </c>
      <c r="F50" s="51" t="s">
        <v>112</v>
      </c>
    </row>
    <row r="51" spans="1:6" ht="30.6" x14ac:dyDescent="0.3">
      <c r="A51" s="27" t="s">
        <v>73</v>
      </c>
      <c r="B51" s="29">
        <v>5.17</v>
      </c>
      <c r="C51" s="28" t="s">
        <v>74</v>
      </c>
      <c r="D51" s="28">
        <v>40</v>
      </c>
      <c r="E51" s="28">
        <v>40</v>
      </c>
      <c r="F51" s="33" t="s">
        <v>100</v>
      </c>
    </row>
    <row r="52" spans="1:6" x14ac:dyDescent="0.3">
      <c r="A52" s="27"/>
      <c r="B52" s="27"/>
      <c r="C52" s="35" t="s">
        <v>75</v>
      </c>
      <c r="D52" s="27">
        <f>SUM(D35:D51)</f>
        <v>1324</v>
      </c>
      <c r="E52" s="27">
        <f>SUM(E35:E51)</f>
        <v>1302</v>
      </c>
      <c r="F52" s="54">
        <f>E52/D52*100</f>
        <v>98.338368580060418</v>
      </c>
    </row>
  </sheetData>
  <mergeCells count="5">
    <mergeCell ref="A1:F1"/>
    <mergeCell ref="A2:F2"/>
    <mergeCell ref="A5:F5"/>
    <mergeCell ref="A19:F19"/>
    <mergeCell ref="A34:F3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Q1 2026 Lettuce</vt:lpstr>
      <vt:lpstr>Q1 2026 Cukes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Bruce Wilkins</dc:creator>
  <cp:lastModifiedBy>Bruce Wilkins</cp:lastModifiedBy>
  <dcterms:created xsi:type="dcterms:W3CDTF">2026-02-17T19:10:16Z</dcterms:created>
  <dcterms:modified xsi:type="dcterms:W3CDTF">2026-04-26T16:18:39Z</dcterms:modified>
</cp:coreProperties>
</file>